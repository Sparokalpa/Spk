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0" i="1" l="1"/>
  <c r="D40" i="1" l="1"/>
  <c r="D42" i="1" s="1"/>
  <c r="D51" i="1" s="1"/>
  <c r="C42" i="1"/>
  <c r="B42" i="1"/>
  <c r="C32" i="1"/>
  <c r="C27" i="1"/>
  <c r="C23" i="1"/>
  <c r="D41" i="1"/>
  <c r="C4" i="1"/>
  <c r="B8" i="1"/>
  <c r="B10" i="1" s="1"/>
  <c r="C11" i="1" s="1"/>
  <c r="C13" i="1" l="1"/>
  <c r="C17" i="1" s="1"/>
  <c r="C24" i="1" s="1"/>
  <c r="C28" i="1" s="1"/>
  <c r="C33" i="1" s="1"/>
  <c r="D56" i="1" s="1"/>
  <c r="D57" i="1" s="1"/>
  <c r="D60" i="1" l="1"/>
  <c r="D72" i="1" s="1"/>
  <c r="D75" i="1" s="1"/>
</calcChain>
</file>

<file path=xl/sharedStrings.xml><?xml version="1.0" encoding="utf-8"?>
<sst xmlns="http://schemas.openxmlformats.org/spreadsheetml/2006/main" count="56" uniqueCount="45">
  <si>
    <t>Rs.</t>
  </si>
  <si>
    <t>Sales</t>
  </si>
  <si>
    <t>Less: Cost of Sales</t>
  </si>
  <si>
    <t>Opening Inventory</t>
  </si>
  <si>
    <t>Add: Purchases</t>
  </si>
  <si>
    <t>Less: Closing Inventory</t>
  </si>
  <si>
    <t>Gross Profit</t>
  </si>
  <si>
    <t>Less: Carriage Inwards</t>
  </si>
  <si>
    <t>Net profit</t>
  </si>
  <si>
    <t>Non current assests</t>
  </si>
  <si>
    <t>Current assests</t>
  </si>
  <si>
    <t>Add: Other income</t>
  </si>
  <si>
    <t>Less: Operating Expenses</t>
  </si>
  <si>
    <t>Less: Selling expences</t>
  </si>
  <si>
    <t>Less: Financial expenses</t>
  </si>
  <si>
    <t>Total Assests</t>
  </si>
  <si>
    <t>Equity and liability</t>
  </si>
  <si>
    <t>Assests</t>
  </si>
  <si>
    <t>Capital</t>
  </si>
  <si>
    <t>Add: Net profit</t>
  </si>
  <si>
    <t>Less: Drawings</t>
  </si>
  <si>
    <t>Total equity</t>
  </si>
  <si>
    <t>Non current Liability</t>
  </si>
  <si>
    <t>Current liability</t>
  </si>
  <si>
    <t>Total equity and liability</t>
  </si>
  <si>
    <t>Closing stock</t>
  </si>
  <si>
    <t>Prepaid rent</t>
  </si>
  <si>
    <t>Rent expense</t>
  </si>
  <si>
    <t>Oustanding sallary</t>
  </si>
  <si>
    <t>Salary expense</t>
  </si>
  <si>
    <t>Equipment</t>
  </si>
  <si>
    <t>Buildings</t>
  </si>
  <si>
    <t>Prepaid insuarance</t>
  </si>
  <si>
    <t>Insuarance</t>
  </si>
  <si>
    <t>Debtors</t>
  </si>
  <si>
    <t>Creditors</t>
  </si>
  <si>
    <t>Bank</t>
  </si>
  <si>
    <t>Accumulated depriciation</t>
  </si>
  <si>
    <t>Depreciation</t>
  </si>
  <si>
    <t>Advertising</t>
  </si>
  <si>
    <t>Bank loan</t>
  </si>
  <si>
    <t>Interest</t>
  </si>
  <si>
    <t>Less: Carriage Outwards</t>
  </si>
  <si>
    <t>Description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</si>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</sst>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43" fontId="2" fillId="0" borderId="2" xfId="1" applyFont="1" applyBorder="1"/>
    <xf numFmtId="43" fontId="2" fillId="0" borderId="3" xfId="1" applyFont="1" applyBorder="1"/>
    <xf numFmtId="43" fontId="2" fillId="0" borderId="4" xfId="1" applyFont="1" applyBorder="1"/>
    <xf numFmtId="43" fontId="2" fillId="0" borderId="5" xfId="1" applyFont="1" applyBorder="1"/>
    <xf numFmtId="0" fontId="2" fillId="0" borderId="4" xfId="0" applyFont="1" applyBorder="1"/>
    <xf numFmtId="43" fontId="0" fillId="0" borderId="0" xfId="0" applyNumberFormat="1"/>
    <xf numFmtId="43" fontId="2" fillId="0" borderId="2" xfId="1" applyFont="1" applyBorder="1" applyAlignment="1">
      <alignment horizontal="right"/>
    </xf>
    <xf numFmtId="0" fontId="0" fillId="0" borderId="4" xfId="0" applyBorder="1"/>
    <xf numFmtId="43" fontId="2" fillId="0" borderId="6" xfId="1" applyFont="1" applyBorder="1"/>
    <xf numFmtId="0" fontId="2" fillId="0" borderId="5" xfId="0" applyFont="1" applyBorder="1"/>
    <xf numFmtId="0" fontId="2" fillId="0" borderId="4" xfId="0" applyFont="1" applyFill="1" applyBorder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9" fontId="2" fillId="0" borderId="1" xfId="0" applyNumberFormat="1" applyFont="1" applyBorder="1"/>
    <xf numFmtId="43" fontId="2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Views>
    <sheetView tabSelected="1" topLeftCell="A75" workbookViewId="0">
      <selection activeCell="D80" sqref="D80"/>
    </sheetView>
  </sheetViews>
  <sheetFormatPr defaultRowHeight="15" x14ac:dyDescent="0.25"/>
  <cols>
    <col min="1" max="1" width="23.140625" customWidth="1"/>
    <col min="2" max="3" width="12.7109375" bestFit="1" customWidth="1"/>
    <col min="4" max="4" width="13.5703125" customWidth="1"/>
    <col min="6" max="6" width="22.85546875" bestFit="1" customWidth="1"/>
  </cols>
  <sheetData>
    <row r="1" spans="1:3" ht="15.75" customHeight="1" x14ac:dyDescent="0.25">
      <c r="A1" s="2" t="s">
        <v>43</v>
      </c>
      <c r="B1" s="2" t="s">
        <v>0</v>
      </c>
      <c r="C1" s="2" t="s">
        <v>0</v>
      </c>
    </row>
    <row r="2" spans="1:3" ht="15.75" x14ac:dyDescent="0.25">
      <c r="A2" s="7" t="s">
        <v>1</v>
      </c>
      <c r="B2" s="3"/>
      <c r="C2" s="5">
        <v>360000</v>
      </c>
    </row>
    <row r="3" spans="1:3" ht="15.75" x14ac:dyDescent="0.25">
      <c r="A3" s="7" t="s">
        <v>7</v>
      </c>
      <c r="B3" s="3"/>
      <c r="C3" s="5">
        <v>-6000</v>
      </c>
    </row>
    <row r="4" spans="1:3" ht="15.75" x14ac:dyDescent="0.25">
      <c r="A4" s="7"/>
      <c r="B4" s="3"/>
      <c r="C4" s="6">
        <f>+C2+C3</f>
        <v>354000</v>
      </c>
    </row>
    <row r="5" spans="1:3" ht="15.75" x14ac:dyDescent="0.25">
      <c r="A5" s="7" t="s">
        <v>2</v>
      </c>
      <c r="B5" s="3"/>
      <c r="C5" s="5"/>
    </row>
    <row r="6" spans="1:3" ht="15.75" x14ac:dyDescent="0.25">
      <c r="A6" s="7" t="s">
        <v>3</v>
      </c>
      <c r="B6" s="3">
        <v>30000</v>
      </c>
      <c r="C6" s="5"/>
    </row>
    <row r="7" spans="1:3" ht="15.75" x14ac:dyDescent="0.25">
      <c r="A7" s="7" t="s">
        <v>4</v>
      </c>
      <c r="B7" s="3">
        <v>210000</v>
      </c>
      <c r="C7" s="5"/>
    </row>
    <row r="8" spans="1:3" ht="15.75" x14ac:dyDescent="0.25">
      <c r="A8" s="7"/>
      <c r="B8" s="4">
        <f>+B6+B7</f>
        <v>240000</v>
      </c>
      <c r="C8" s="5"/>
    </row>
    <row r="9" spans="1:3" ht="15.75" x14ac:dyDescent="0.25">
      <c r="A9" s="7" t="s">
        <v>42</v>
      </c>
      <c r="B9" s="3">
        <v>-5000</v>
      </c>
      <c r="C9" s="5"/>
    </row>
    <row r="10" spans="1:3" ht="15.75" x14ac:dyDescent="0.25">
      <c r="A10" s="7"/>
      <c r="B10" s="9">
        <f>+B8+B9</f>
        <v>235000</v>
      </c>
      <c r="C10" s="5"/>
    </row>
    <row r="11" spans="1:3" ht="15.75" x14ac:dyDescent="0.25">
      <c r="A11" s="7" t="s">
        <v>5</v>
      </c>
      <c r="B11" s="3">
        <v>-40000</v>
      </c>
      <c r="C11" s="5">
        <f>+B10+B11</f>
        <v>195000</v>
      </c>
    </row>
    <row r="12" spans="1:3" ht="15.75" x14ac:dyDescent="0.25">
      <c r="A12" s="7"/>
      <c r="B12" s="4"/>
      <c r="C12" s="6"/>
    </row>
    <row r="13" spans="1:3" ht="15.75" x14ac:dyDescent="0.25">
      <c r="A13" s="7" t="s">
        <v>6</v>
      </c>
      <c r="B13" s="3"/>
      <c r="C13" s="5">
        <f>+C4-C11</f>
        <v>159000</v>
      </c>
    </row>
    <row r="16" spans="1:3" ht="15.75" x14ac:dyDescent="0.25">
      <c r="A16" s="2" t="s">
        <v>43</v>
      </c>
      <c r="B16" s="2" t="s">
        <v>0</v>
      </c>
      <c r="C16" s="2" t="s">
        <v>0</v>
      </c>
    </row>
    <row r="17" spans="1:4" ht="15.75" x14ac:dyDescent="0.25">
      <c r="A17" s="7" t="s">
        <v>6</v>
      </c>
      <c r="B17" s="3"/>
      <c r="C17" s="5">
        <f>+C13</f>
        <v>159000</v>
      </c>
    </row>
    <row r="18" spans="1:4" ht="15.75" x14ac:dyDescent="0.25">
      <c r="A18" s="7" t="s">
        <v>11</v>
      </c>
      <c r="B18" s="5"/>
      <c r="C18" s="5"/>
      <c r="D18" s="1"/>
    </row>
    <row r="19" spans="1:4" ht="15.75" x14ac:dyDescent="0.25">
      <c r="A19" s="7"/>
      <c r="B19" s="5"/>
      <c r="C19" s="5"/>
      <c r="D19" s="1"/>
    </row>
    <row r="20" spans="1:4" ht="15.75" x14ac:dyDescent="0.25">
      <c r="A20" s="7" t="s">
        <v>12</v>
      </c>
      <c r="B20" s="5"/>
      <c r="C20" s="5"/>
      <c r="D20" s="1"/>
    </row>
    <row r="21" spans="1:4" ht="15.75" x14ac:dyDescent="0.25">
      <c r="A21" s="7" t="s">
        <v>27</v>
      </c>
      <c r="B21" s="5">
        <v>10000</v>
      </c>
      <c r="C21" s="5"/>
      <c r="D21" s="1"/>
    </row>
    <row r="22" spans="1:4" ht="15.75" x14ac:dyDescent="0.25">
      <c r="A22" s="7" t="s">
        <v>29</v>
      </c>
      <c r="B22" s="5">
        <v>45000</v>
      </c>
      <c r="C22" s="5"/>
      <c r="D22" s="1"/>
    </row>
    <row r="23" spans="1:4" ht="15.75" x14ac:dyDescent="0.25">
      <c r="A23" s="7" t="s">
        <v>38</v>
      </c>
      <c r="B23" s="5">
        <v>40000</v>
      </c>
      <c r="C23" s="5">
        <f>SUM(B21:B23)</f>
        <v>95000</v>
      </c>
      <c r="D23" s="1"/>
    </row>
    <row r="24" spans="1:4" ht="15.75" x14ac:dyDescent="0.25">
      <c r="A24" s="7"/>
      <c r="B24" s="6"/>
      <c r="C24" s="6">
        <f>+C17-C23</f>
        <v>64000</v>
      </c>
      <c r="D24" s="1"/>
    </row>
    <row r="25" spans="1:4" ht="15.75" x14ac:dyDescent="0.25">
      <c r="A25" s="7"/>
      <c r="B25" s="5"/>
      <c r="C25" s="5"/>
      <c r="D25" s="1"/>
    </row>
    <row r="26" spans="1:4" ht="15.75" x14ac:dyDescent="0.25">
      <c r="A26" s="7" t="s">
        <v>13</v>
      </c>
      <c r="B26" s="5"/>
      <c r="C26" s="5"/>
      <c r="D26" s="1"/>
    </row>
    <row r="27" spans="1:4" ht="15.75" x14ac:dyDescent="0.25">
      <c r="A27" s="7" t="s">
        <v>39</v>
      </c>
      <c r="B27" s="5">
        <v>8000</v>
      </c>
      <c r="C27" s="5">
        <f>+B27</f>
        <v>8000</v>
      </c>
      <c r="D27" s="1"/>
    </row>
    <row r="28" spans="1:4" ht="15.75" x14ac:dyDescent="0.25">
      <c r="A28" s="7"/>
      <c r="B28" s="6"/>
      <c r="C28" s="6">
        <f>+C24-C27</f>
        <v>56000</v>
      </c>
      <c r="D28" s="1"/>
    </row>
    <row r="29" spans="1:4" ht="15.75" x14ac:dyDescent="0.25">
      <c r="A29" s="7"/>
      <c r="B29" s="5"/>
      <c r="C29" s="5"/>
      <c r="D29" s="1"/>
    </row>
    <row r="30" spans="1:4" ht="15.75" x14ac:dyDescent="0.25">
      <c r="A30" s="7" t="s">
        <v>14</v>
      </c>
      <c r="B30" s="5"/>
      <c r="C30" s="5"/>
      <c r="D30" s="1"/>
    </row>
    <row r="31" spans="1:4" ht="15.75" x14ac:dyDescent="0.25">
      <c r="A31" s="7" t="s">
        <v>33</v>
      </c>
      <c r="B31" s="5">
        <v>6000</v>
      </c>
      <c r="C31" s="5"/>
      <c r="D31" s="1"/>
    </row>
    <row r="32" spans="1:4" ht="15.75" x14ac:dyDescent="0.25">
      <c r="A32" s="7" t="s">
        <v>41</v>
      </c>
      <c r="B32" s="5">
        <v>4000</v>
      </c>
      <c r="C32" s="5">
        <f>+B31+B32</f>
        <v>10000</v>
      </c>
      <c r="D32" s="1"/>
    </row>
    <row r="33" spans="1:4" ht="15.75" x14ac:dyDescent="0.25">
      <c r="A33" s="7" t="s">
        <v>8</v>
      </c>
      <c r="B33" s="6"/>
      <c r="C33" s="6">
        <f>+C28-C32</f>
        <v>46000</v>
      </c>
      <c r="D33" s="1"/>
    </row>
    <row r="34" spans="1:4" ht="15.75" x14ac:dyDescent="0.25">
      <c r="A34" s="1"/>
      <c r="B34" s="1"/>
      <c r="C34" s="1"/>
      <c r="D34" s="1"/>
    </row>
    <row r="35" spans="1:4" ht="15.75" x14ac:dyDescent="0.25">
      <c r="A35" s="1"/>
      <c r="B35" s="1"/>
      <c r="C35" s="1"/>
      <c r="D35" s="1"/>
    </row>
    <row r="36" spans="1:4" ht="15.75" x14ac:dyDescent="0.25">
      <c r="A36" s="2" t="s">
        <v>43</v>
      </c>
      <c r="B36" s="2" t="s">
        <v>0</v>
      </c>
      <c r="C36" s="2" t="s">
        <v>0</v>
      </c>
      <c r="D36" s="2" t="s">
        <v>0</v>
      </c>
    </row>
    <row r="37" spans="1:4" ht="15.75" x14ac:dyDescent="0.25">
      <c r="A37" s="12" t="s">
        <v>17</v>
      </c>
      <c r="B37" s="6"/>
      <c r="C37" s="6"/>
      <c r="D37" s="6"/>
    </row>
    <row r="38" spans="1:4" ht="15.75" x14ac:dyDescent="0.25">
      <c r="A38" s="7"/>
      <c r="B38" s="5"/>
      <c r="C38" s="5"/>
      <c r="D38" s="5"/>
    </row>
    <row r="39" spans="1:4" ht="15.75" x14ac:dyDescent="0.25">
      <c r="A39" s="7" t="s">
        <v>9</v>
      </c>
      <c r="B39" s="5"/>
      <c r="C39" s="5"/>
      <c r="D39" s="5"/>
    </row>
    <row r="40" spans="1:4" ht="15.75" x14ac:dyDescent="0.25">
      <c r="A40" s="7" t="s">
        <v>31</v>
      </c>
      <c r="B40" s="5">
        <v>108000</v>
      </c>
      <c r="C40" s="5">
        <v>0</v>
      </c>
      <c r="D40" s="5">
        <f>+B40+C40</f>
        <v>108000</v>
      </c>
    </row>
    <row r="41" spans="1:4" ht="15.75" x14ac:dyDescent="0.25">
      <c r="A41" s="13" t="s">
        <v>30</v>
      </c>
      <c r="B41" s="5">
        <v>200000</v>
      </c>
      <c r="C41" s="5">
        <v>-20000</v>
      </c>
      <c r="D41" s="5">
        <f>+B41+C41</f>
        <v>180000</v>
      </c>
    </row>
    <row r="42" spans="1:4" ht="15.75" x14ac:dyDescent="0.25">
      <c r="A42" s="7"/>
      <c r="B42" s="6">
        <f>SUM(B40:B41)</f>
        <v>308000</v>
      </c>
      <c r="C42" s="6">
        <f>SUM(C40:C41)</f>
        <v>-20000</v>
      </c>
      <c r="D42" s="6">
        <f>SUM(D40:D41)</f>
        <v>288000</v>
      </c>
    </row>
    <row r="43" spans="1:4" ht="15.75" x14ac:dyDescent="0.25">
      <c r="A43" s="7"/>
      <c r="B43" s="5"/>
      <c r="C43" s="5"/>
      <c r="D43" s="5"/>
    </row>
    <row r="44" spans="1:4" ht="15.75" x14ac:dyDescent="0.25">
      <c r="A44" s="7" t="s">
        <v>10</v>
      </c>
      <c r="B44" s="5"/>
      <c r="C44" s="5"/>
      <c r="D44" s="5"/>
    </row>
    <row r="45" spans="1:4" ht="15.75" x14ac:dyDescent="0.25">
      <c r="A45" s="7" t="s">
        <v>25</v>
      </c>
      <c r="B45" s="5"/>
      <c r="C45" s="5"/>
      <c r="D45" s="5">
        <v>40000</v>
      </c>
    </row>
    <row r="46" spans="1:4" ht="15.75" x14ac:dyDescent="0.25">
      <c r="A46" s="7" t="s">
        <v>26</v>
      </c>
      <c r="B46" s="5"/>
      <c r="C46" s="5"/>
      <c r="D46" s="5">
        <v>2000</v>
      </c>
    </row>
    <row r="47" spans="1:4" ht="15.75" x14ac:dyDescent="0.25">
      <c r="A47" s="7" t="s">
        <v>32</v>
      </c>
      <c r="B47" s="5"/>
      <c r="C47" s="5"/>
      <c r="D47" s="5">
        <v>1000</v>
      </c>
    </row>
    <row r="48" spans="1:4" ht="15.75" x14ac:dyDescent="0.25">
      <c r="A48" s="7" t="s">
        <v>34</v>
      </c>
      <c r="B48" s="5"/>
      <c r="C48" s="5"/>
      <c r="D48" s="5">
        <v>50000</v>
      </c>
    </row>
    <row r="49" spans="1:4" ht="15.75" x14ac:dyDescent="0.25">
      <c r="A49" s="7" t="s">
        <v>36</v>
      </c>
      <c r="B49" s="5"/>
      <c r="C49" s="5"/>
      <c r="D49" s="5">
        <v>35000</v>
      </c>
    </row>
    <row r="50" spans="1:4" ht="15.75" x14ac:dyDescent="0.25">
      <c r="A50" s="7"/>
      <c r="B50" s="5"/>
      <c r="C50" s="5"/>
      <c r="D50" s="5"/>
    </row>
    <row r="51" spans="1:4" ht="16.5" thickBot="1" x14ac:dyDescent="0.3">
      <c r="A51" s="7" t="s">
        <v>15</v>
      </c>
      <c r="B51" s="5"/>
      <c r="C51" s="5"/>
      <c r="D51" s="11">
        <f>SUM(D42:D50)</f>
        <v>416000</v>
      </c>
    </row>
    <row r="52" spans="1:4" ht="16.5" thickTop="1" x14ac:dyDescent="0.25">
      <c r="A52" s="7"/>
      <c r="B52" s="5"/>
      <c r="C52" s="5"/>
      <c r="D52" s="5"/>
    </row>
    <row r="53" spans="1:4" ht="15.75" x14ac:dyDescent="0.25">
      <c r="A53" s="7" t="s">
        <v>16</v>
      </c>
      <c r="B53" s="5"/>
      <c r="C53" s="5"/>
      <c r="D53" s="5"/>
    </row>
    <row r="54" spans="1:4" ht="15.75" x14ac:dyDescent="0.25">
      <c r="A54" s="7"/>
      <c r="B54" s="5"/>
      <c r="C54" s="5"/>
      <c r="D54" s="5"/>
    </row>
    <row r="55" spans="1:4" ht="15.75" x14ac:dyDescent="0.25">
      <c r="A55" s="7" t="s">
        <v>18</v>
      </c>
      <c r="B55" s="5"/>
      <c r="C55" s="10"/>
      <c r="D55" s="5">
        <v>250000</v>
      </c>
    </row>
    <row r="56" spans="1:4" ht="15.75" x14ac:dyDescent="0.25">
      <c r="A56" s="7" t="s">
        <v>19</v>
      </c>
      <c r="B56" s="5"/>
      <c r="C56" s="10"/>
      <c r="D56" s="5">
        <f>+C33</f>
        <v>46000</v>
      </c>
    </row>
    <row r="57" spans="1:4" ht="15.75" x14ac:dyDescent="0.25">
      <c r="A57" s="7"/>
      <c r="B57" s="5"/>
      <c r="C57" s="10"/>
      <c r="D57" s="6">
        <f>+D55+D56</f>
        <v>296000</v>
      </c>
    </row>
    <row r="58" spans="1:4" ht="15.75" x14ac:dyDescent="0.25">
      <c r="A58" s="7" t="s">
        <v>20</v>
      </c>
      <c r="B58" s="5"/>
      <c r="C58" s="10"/>
      <c r="D58" s="5">
        <v>-25000</v>
      </c>
    </row>
    <row r="59" spans="1:4" ht="15.75" x14ac:dyDescent="0.25">
      <c r="A59" s="7"/>
      <c r="B59" s="5"/>
      <c r="C59" s="5"/>
      <c r="D59" s="5"/>
    </row>
    <row r="60" spans="1:4" ht="15.75" x14ac:dyDescent="0.25">
      <c r="A60" s="7" t="s">
        <v>21</v>
      </c>
      <c r="B60" s="5"/>
      <c r="C60" s="5"/>
      <c r="D60" s="6">
        <f>+D57+D58</f>
        <v>271000</v>
      </c>
    </row>
    <row r="61" spans="1:4" ht="15.75" x14ac:dyDescent="0.25">
      <c r="A61" s="7"/>
      <c r="B61" s="5"/>
      <c r="C61" s="5"/>
      <c r="D61" s="5"/>
    </row>
    <row r="62" spans="1:4" ht="15.75" x14ac:dyDescent="0.25">
      <c r="A62" s="7" t="s">
        <v>22</v>
      </c>
      <c r="B62" s="5"/>
      <c r="C62" s="5"/>
      <c r="D62" s="5"/>
    </row>
    <row r="63" spans="1:4" ht="15.75" x14ac:dyDescent="0.25">
      <c r="A63" s="7" t="s">
        <v>40</v>
      </c>
      <c r="B63" s="5"/>
      <c r="C63" s="5"/>
      <c r="D63" s="5">
        <v>80000</v>
      </c>
    </row>
    <row r="64" spans="1:4" ht="15.75" x14ac:dyDescent="0.25">
      <c r="A64" s="10"/>
      <c r="B64" s="5"/>
      <c r="C64" s="5"/>
      <c r="D64" s="5"/>
    </row>
    <row r="65" spans="1:4" ht="15.75" x14ac:dyDescent="0.25">
      <c r="A65" s="10"/>
      <c r="B65" s="5"/>
      <c r="C65" s="5"/>
      <c r="D65" s="5"/>
    </row>
    <row r="66" spans="1:4" ht="15.75" x14ac:dyDescent="0.25">
      <c r="A66" s="7" t="s">
        <v>23</v>
      </c>
      <c r="B66" s="5"/>
      <c r="C66" s="5"/>
      <c r="D66" s="5"/>
    </row>
    <row r="67" spans="1:4" ht="15.75" x14ac:dyDescent="0.25">
      <c r="A67" s="7"/>
      <c r="B67" s="5"/>
      <c r="C67" s="5"/>
      <c r="D67" s="5"/>
    </row>
    <row r="68" spans="1:4" ht="15.75" x14ac:dyDescent="0.25">
      <c r="A68" s="7" t="s">
        <v>28</v>
      </c>
      <c r="B68" s="5"/>
      <c r="C68" s="5"/>
      <c r="D68" s="5">
        <v>3000</v>
      </c>
    </row>
    <row r="69" spans="1:4" ht="15.75" x14ac:dyDescent="0.25">
      <c r="A69" s="7" t="s">
        <v>35</v>
      </c>
      <c r="B69" s="5"/>
      <c r="C69" s="5"/>
      <c r="D69" s="5">
        <v>32000</v>
      </c>
    </row>
    <row r="70" spans="1:4" ht="15.75" x14ac:dyDescent="0.25">
      <c r="A70" s="7" t="s">
        <v>37</v>
      </c>
      <c r="B70" s="10"/>
      <c r="C70" s="10"/>
      <c r="D70" s="5">
        <v>30000</v>
      </c>
    </row>
    <row r="71" spans="1:4" ht="15.75" x14ac:dyDescent="0.25">
      <c r="A71" s="7"/>
      <c r="B71" s="5"/>
      <c r="C71" s="5"/>
      <c r="D71" s="5"/>
    </row>
    <row r="72" spans="1:4" ht="16.5" thickBot="1" x14ac:dyDescent="0.3">
      <c r="A72" s="7" t="s">
        <v>24</v>
      </c>
      <c r="B72" s="5"/>
      <c r="C72" s="5"/>
      <c r="D72" s="11">
        <f>SUM(D60:D71)</f>
        <v>416000</v>
      </c>
    </row>
    <row r="73" spans="1:4" ht="15.75" thickTop="1" x14ac:dyDescent="0.25">
      <c r="A73" s="10"/>
      <c r="B73" s="10"/>
      <c r="C73" s="10"/>
      <c r="D73" s="10"/>
    </row>
    <row r="74" spans="1:4" x14ac:dyDescent="0.25">
      <c r="D74" s="8"/>
    </row>
    <row r="75" spans="1:4" x14ac:dyDescent="0.25">
      <c r="D75" s="8">
        <f>+D51-D72</f>
        <v>0</v>
      </c>
    </row>
    <row r="76" spans="1:4" ht="15.75" x14ac:dyDescent="0.25">
      <c r="A76" s="15" t="s">
        <v>44</v>
      </c>
      <c r="B76" s="14"/>
      <c r="C76" s="14"/>
      <c r="D76" s="14"/>
    </row>
    <row r="77" spans="1:4" x14ac:dyDescent="0.25">
      <c r="A77" s="14"/>
      <c r="B77" s="14"/>
      <c r="C77" s="14"/>
      <c r="D77" s="14"/>
    </row>
    <row r="78" spans="1:4" ht="15.75" x14ac:dyDescent="0.25">
      <c r="A78" s="1" t="s">
        <v>38</v>
      </c>
      <c r="B78" s="14"/>
      <c r="C78" s="14"/>
      <c r="D78" s="14"/>
    </row>
    <row r="79" spans="1:4" x14ac:dyDescent="0.25">
      <c r="A79" s="14"/>
      <c r="B79" s="14"/>
      <c r="C79" s="14"/>
      <c r="D79" s="14"/>
    </row>
    <row r="80" spans="1:4" ht="15.75" x14ac:dyDescent="0.25">
      <c r="A80" s="16" t="s">
        <v>30</v>
      </c>
      <c r="B80" s="18">
        <v>200000</v>
      </c>
      <c r="C80" s="17">
        <v>0.1</v>
      </c>
      <c r="D80" s="18">
        <f>B80*C80</f>
        <v>20000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2025-06-13T12:37:25Z</dcterms:created>
  <dcterms:modified xsi:type="dcterms:W3CDTF">2025-06-14T11:00:41Z</dcterms:modified>
</cp:coreProperties>
</file>